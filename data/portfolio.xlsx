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3680" yWindow="1940" windowWidth="20520" windowHeight="169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istory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3">
    <numFmt numFmtId="164" formatCode="&quot;€&quot;\ #,##0.00;[Red]&quot;€&quot;\ \-#,##0.00"/>
    <numFmt numFmtId="165" formatCode="&quot;€&quot;\ #,##0;[Red]&quot;€&quot;\ \-#,##0"/>
    <numFmt numFmtId="166" formatCode="_ [$€-2]\ * #,##0.00_ ;_ [$€-2]\ * \-#,##0.00_ ;_ [$€-2]\ * &quot;-&quot;??_ ;_ @_ "/>
  </numFmts>
  <fonts count="5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4">
    <xf numFmtId="0" fontId="1" fillId="0" borderId="0"/>
    <xf numFmtId="9" fontId="1" fillId="0" borderId="0"/>
    <xf numFmtId="0" fontId="2" fillId="0" borderId="0"/>
    <xf numFmtId="0" fontId="3" fillId="0" borderId="1"/>
  </cellStyleXfs>
  <cellXfs count="17">
    <xf numFmtId="0" fontId="0" fillId="0" borderId="0" pivotButton="0" quotePrefix="0" xfId="0"/>
    <xf numFmtId="0" fontId="2" fillId="0" borderId="0" pivotButton="0" quotePrefix="0" xfId="2"/>
    <xf numFmtId="164" fontId="0" fillId="0" borderId="0" pivotButton="0" quotePrefix="0" xfId="0"/>
    <xf numFmtId="9" fontId="0" fillId="0" borderId="0" pivotButton="0" quotePrefix="0" xfId="1"/>
    <xf numFmtId="10" fontId="0" fillId="0" borderId="0" pivotButton="0" quotePrefix="0" xfId="1"/>
    <xf numFmtId="0" fontId="4" fillId="0" borderId="0" pivotButton="0" quotePrefix="0" xfId="0"/>
    <xf numFmtId="10" fontId="0" fillId="2" borderId="0" pivotButton="0" quotePrefix="0" xfId="1"/>
    <xf numFmtId="10" fontId="0" fillId="3" borderId="0" pivotButton="0" quotePrefix="0" xfId="1"/>
    <xf numFmtId="0" fontId="3" fillId="0" borderId="1" pivotButton="0" quotePrefix="0" xfId="3"/>
    <xf numFmtId="165" fontId="0" fillId="0" borderId="0" pivotButton="0" quotePrefix="0" xfId="0"/>
    <xf numFmtId="164" fontId="4" fillId="0" borderId="0" pivotButton="0" quotePrefix="0" xfId="0"/>
    <xf numFmtId="0" fontId="0" fillId="0" borderId="0" pivotButton="0" quotePrefix="0" xfId="0"/>
    <xf numFmtId="166" fontId="0" fillId="0" borderId="0" pivotButton="0" quotePrefix="0" xfId="1"/>
    <xf numFmtId="164" fontId="0" fillId="0" borderId="0" pivotButton="0" quotePrefix="0" xfId="0"/>
    <xf numFmtId="166" fontId="0" fillId="0" borderId="0" pivotButton="0" quotePrefix="0" xfId="1"/>
    <xf numFmtId="165" fontId="0" fillId="0" borderId="0" pivotButton="0" quotePrefix="0" xfId="0"/>
    <xf numFmtId="164" fontId="4" fillId="0" borderId="0" pivotButton="0" quotePrefix="0" xfId="0"/>
  </cellXfs>
  <cellStyles count="4">
    <cellStyle name="Normal" xfId="0" builtinId="0"/>
    <cellStyle name="Percent" xfId="1" builtinId="5"/>
    <cellStyle name="Title" xfId="2" builtinId="15"/>
    <cellStyle name="Heading 1" xfId="3" builtinId="1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tabSelected="1" workbookViewId="0">
      <selection activeCell="O26" sqref="O26"/>
    </sheetView>
  </sheetViews>
  <sheetFormatPr baseColWidth="10" defaultRowHeight="16"/>
  <cols>
    <col width="30" bestFit="1" customWidth="1" style="11" min="1" max="1"/>
    <col width="12.1640625" bestFit="1" customWidth="1" style="11" min="2" max="2"/>
    <col width="11.5" bestFit="1" customWidth="1" style="11" min="5" max="5"/>
    <col width="13.6640625" bestFit="1" customWidth="1" style="11" min="6" max="6"/>
    <col width="12.6640625" bestFit="1" customWidth="1" style="11" min="7" max="7"/>
    <col width="12.6640625" customWidth="1" style="11" min="8" max="8"/>
  </cols>
  <sheetData>
    <row r="1" ht="24" customHeight="1" s="11">
      <c r="A1" s="1" t="inlineStr">
        <is>
          <t>Stocks &amp; Bonds - Jesse Boonstoppel</t>
        </is>
      </c>
    </row>
    <row r="2"/>
    <row r="3"/>
    <row r="4"/>
    <row r="5">
      <c r="B5" s="5" t="inlineStr">
        <is>
          <t>Ticker</t>
        </is>
      </c>
      <c r="C5" s="5" t="inlineStr">
        <is>
          <t>Naam</t>
        </is>
      </c>
      <c r="D5" s="5" t="inlineStr">
        <is>
          <t>Aantal</t>
        </is>
      </c>
      <c r="E5" s="5" t="inlineStr">
        <is>
          <t>Aankoopprijs</t>
        </is>
      </c>
      <c r="F5" s="5" t="inlineStr">
        <is>
          <t>Huidige waarde</t>
        </is>
      </c>
      <c r="G5" s="5" t="inlineStr">
        <is>
          <t>% Verandering</t>
        </is>
      </c>
      <c r="H5" s="5" t="inlineStr">
        <is>
          <t>Totale waarde</t>
        </is>
      </c>
      <c r="I5" s="5" t="inlineStr">
        <is>
          <t>Dividend %</t>
        </is>
      </c>
      <c r="J5" s="5" t="inlineStr">
        <is>
          <t>Market</t>
        </is>
      </c>
    </row>
    <row r="6">
      <c r="B6" t="inlineStr">
        <is>
          <t>AD:AMS</t>
        </is>
      </c>
      <c r="C6" t="inlineStr">
        <is>
          <t>Ahold</t>
        </is>
      </c>
      <c r="D6" t="n">
        <v>6</v>
      </c>
      <c r="E6" s="13" t="n">
        <v>41.5</v>
      </c>
      <c r="F6" s="13" t="n">
        <v>31.88</v>
      </c>
      <c r="G6" s="6">
        <f>(F6-E6)/E6</f>
        <v/>
      </c>
      <c r="H6" s="14">
        <f>D6*F6</f>
        <v/>
      </c>
      <c r="I6" s="4" t="n">
        <v>0.0389</v>
      </c>
      <c r="J6" t="inlineStr">
        <is>
          <t>AEX</t>
        </is>
      </c>
    </row>
    <row r="7">
      <c r="B7" t="inlineStr">
        <is>
          <t>ING:AMS</t>
        </is>
      </c>
      <c r="C7" t="inlineStr">
        <is>
          <t>ING</t>
        </is>
      </c>
      <c r="D7" t="n">
        <v>5</v>
      </c>
      <c r="E7" s="13" t="n">
        <v>25.6</v>
      </c>
      <c r="F7" s="13" t="n">
        <v>30.95</v>
      </c>
      <c r="G7" s="7">
        <f>(F7-E7)/E7</f>
        <v/>
      </c>
      <c r="H7" s="14">
        <f>D7*F7</f>
        <v/>
      </c>
      <c r="I7" s="4" t="n">
        <v>0.0423</v>
      </c>
      <c r="J7" t="inlineStr">
        <is>
          <t>AEX</t>
        </is>
      </c>
    </row>
    <row r="8">
      <c r="B8" t="inlineStr">
        <is>
          <t>SHELL:AMS</t>
        </is>
      </c>
      <c r="C8" t="inlineStr">
        <is>
          <t>Shell</t>
        </is>
      </c>
      <c r="D8" t="n">
        <v>8</v>
      </c>
      <c r="E8" s="13" t="n">
        <v>38</v>
      </c>
      <c r="F8" s="13" t="n">
        <v>38.97</v>
      </c>
      <c r="G8" s="6">
        <f>(F8-E8)/E8</f>
        <v/>
      </c>
      <c r="H8" s="14">
        <f>D8*F8</f>
        <v/>
      </c>
      <c r="I8" s="4" t="n">
        <v>0.0421</v>
      </c>
      <c r="J8" t="inlineStr">
        <is>
          <t>AEX</t>
        </is>
      </c>
    </row>
    <row r="9">
      <c r="B9" t="inlineStr">
        <is>
          <t>HTGC:NYSE</t>
        </is>
      </c>
      <c r="C9" t="inlineStr">
        <is>
          <t>Hercules</t>
        </is>
      </c>
      <c r="D9" t="n">
        <v>3</v>
      </c>
      <c r="E9" s="13" t="n">
        <v>14.67</v>
      </c>
      <c r="F9" s="13" t="n">
        <v>16.7</v>
      </c>
      <c r="G9" s="7">
        <f>(F9-E9)/E9</f>
        <v/>
      </c>
      <c r="H9" s="14">
        <f>D9*F9</f>
        <v/>
      </c>
      <c r="I9" s="4" t="n">
        <v>0.1126</v>
      </c>
      <c r="J9" t="inlineStr">
        <is>
          <t>NYSE</t>
        </is>
      </c>
    </row>
    <row r="10"/>
    <row r="11"/>
    <row r="12"/>
    <row r="13" ht="21" customHeight="1" s="11" thickBot="1">
      <c r="B13" s="8" t="inlineStr">
        <is>
          <t xml:space="preserve">Dividends </t>
        </is>
      </c>
    </row>
    <row r="14" ht="17" customHeight="1" s="11" thickTop="1"/>
    <row r="15">
      <c r="B15" s="5" t="inlineStr">
        <is>
          <t>Ticker</t>
        </is>
      </c>
      <c r="C15" s="5" t="inlineStr">
        <is>
          <t>Naam</t>
        </is>
      </c>
      <c r="D15" s="5" t="inlineStr">
        <is>
          <t>Aantal</t>
        </is>
      </c>
      <c r="E15" s="5" t="inlineStr">
        <is>
          <t>Q1</t>
        </is>
      </c>
      <c r="F15" s="5" t="inlineStr">
        <is>
          <t>Q2</t>
        </is>
      </c>
      <c r="G15" s="5" t="inlineStr">
        <is>
          <t>Q3</t>
        </is>
      </c>
      <c r="H15" s="5" t="inlineStr">
        <is>
          <t>Q4</t>
        </is>
      </c>
      <c r="I15" s="5" t="inlineStr">
        <is>
          <t>Totaal</t>
        </is>
      </c>
      <c r="J15" s="5" t="n"/>
    </row>
    <row r="16">
      <c r="B16" t="inlineStr">
        <is>
          <t>AD:AMS</t>
        </is>
      </c>
      <c r="C16" t="inlineStr">
        <is>
          <t>Ahold</t>
        </is>
      </c>
      <c r="D16" t="n">
        <v>6</v>
      </c>
      <c r="E16" s="15" t="n">
        <v>0</v>
      </c>
      <c r="F16" s="13" t="n">
        <v>3.72</v>
      </c>
      <c r="G16" s="3" t="n">
        <v>3.06</v>
      </c>
      <c r="H16" s="3" t="n"/>
      <c r="I16" s="13">
        <f>E16+F16</f>
        <v/>
      </c>
      <c r="J16" s="13" t="n"/>
    </row>
    <row r="17">
      <c r="B17" t="inlineStr">
        <is>
          <t>ING:AMS</t>
        </is>
      </c>
      <c r="C17" t="inlineStr">
        <is>
          <t>ING</t>
        </is>
      </c>
      <c r="D17" t="n">
        <v>5</v>
      </c>
      <c r="E17" s="15" t="n">
        <v>0</v>
      </c>
      <c r="F17" s="13" t="n">
        <v>2.5</v>
      </c>
      <c r="G17" t="n">
        <v>2</v>
      </c>
      <c r="I17" s="13">
        <f>E17+F17</f>
        <v/>
      </c>
      <c r="J17" s="13" t="n"/>
    </row>
    <row r="18">
      <c r="B18" t="inlineStr">
        <is>
          <t>SHELL:AMS</t>
        </is>
      </c>
      <c r="C18" t="inlineStr">
        <is>
          <t>Shell</t>
        </is>
      </c>
      <c r="D18" t="n">
        <v>8</v>
      </c>
      <c r="E18" s="13" t="n">
        <v>0.97</v>
      </c>
      <c r="F18" s="13" t="n">
        <v>2.7</v>
      </c>
      <c r="G18" t="n">
        <v>5.39</v>
      </c>
      <c r="I18" s="13">
        <f>E18+F18</f>
        <v/>
      </c>
      <c r="J18" s="13" t="n"/>
    </row>
    <row r="19">
      <c r="B19" t="inlineStr">
        <is>
          <t>HTGC:NYSE</t>
        </is>
      </c>
      <c r="C19" t="inlineStr">
        <is>
          <t>Hercules</t>
        </is>
      </c>
      <c r="D19" t="n">
        <v>3</v>
      </c>
      <c r="E19" s="15" t="n">
        <v>0</v>
      </c>
      <c r="F19" s="15" t="n">
        <v>0</v>
      </c>
      <c r="G19" t="n">
        <v>1.41</v>
      </c>
      <c r="I19" s="13">
        <f>E19+F19</f>
        <v/>
      </c>
      <c r="J19" s="13" t="n"/>
    </row>
    <row r="20">
      <c r="H20" s="5" t="inlineStr">
        <is>
          <t>Totaal</t>
        </is>
      </c>
      <c r="I20" s="16">
        <f>I16+I17+I18+I19</f>
        <v/>
      </c>
      <c r="J20" s="1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2" customWidth="1" style="11" min="1" max="1"/>
    <col width="12" customWidth="1" style="11" min="2" max="2"/>
    <col width="10" customWidth="1" style="11" min="3" max="3"/>
    <col width="8" customWidth="1" style="11" min="4" max="4"/>
    <col width="10" customWidth="1" style="11" min="5" max="5"/>
    <col width="9" customWidth="1" style="11" min="6" max="6"/>
    <col width="14" customWidth="1" style="11" min="7" max="7"/>
    <col width="12" customWidth="1" style="11" min="8" max="8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Naam</t>
        </is>
      </c>
      <c r="D1" t="inlineStr">
        <is>
          <t>Aantal</t>
        </is>
      </c>
      <c r="E1" t="inlineStr">
        <is>
          <t>Price</t>
        </is>
      </c>
      <c r="F1" t="inlineStr">
        <is>
          <t>Currency</t>
        </is>
      </c>
      <c r="G1" t="inlineStr">
        <is>
          <t>Dividend Yield</t>
        </is>
      </c>
      <c r="H1" t="inlineStr">
        <is>
          <t>Total Value</t>
        </is>
      </c>
    </row>
    <row r="2">
      <c r="A2" t="inlineStr">
        <is>
          <t>2026-08-17</t>
        </is>
      </c>
      <c r="B2" t="inlineStr">
        <is>
          <t>AD:AMS</t>
        </is>
      </c>
      <c r="C2" t="inlineStr">
        <is>
          <t>Ahold</t>
        </is>
      </c>
      <c r="D2" t="n">
        <v>6</v>
      </c>
      <c r="E2" t="n">
        <v>31.88</v>
      </c>
      <c r="F2" t="inlineStr">
        <is>
          <t>EUR</t>
        </is>
      </c>
      <c r="G2" t="n">
        <v>0.0389</v>
      </c>
      <c r="H2" t="n">
        <v>191.28</v>
      </c>
    </row>
    <row r="3">
      <c r="A3" t="inlineStr">
        <is>
          <t>2026-08-17</t>
        </is>
      </c>
      <c r="B3" t="inlineStr">
        <is>
          <t>ING:AMS</t>
        </is>
      </c>
      <c r="C3" t="inlineStr">
        <is>
          <t>ING</t>
        </is>
      </c>
      <c r="D3" t="n">
        <v>5</v>
      </c>
      <c r="E3" t="n">
        <v>30.95</v>
      </c>
      <c r="F3" t="inlineStr">
        <is>
          <t>EUR</t>
        </is>
      </c>
      <c r="G3" t="n">
        <v>0.0423</v>
      </c>
      <c r="H3" t="n">
        <v>154.77</v>
      </c>
    </row>
    <row r="4">
      <c r="A4" t="inlineStr">
        <is>
          <t>2026-08-17</t>
        </is>
      </c>
      <c r="B4" t="inlineStr">
        <is>
          <t>SHELL:AMS</t>
        </is>
      </c>
      <c r="C4" t="inlineStr">
        <is>
          <t>Shell</t>
        </is>
      </c>
      <c r="D4" t="n">
        <v>8</v>
      </c>
      <c r="E4" t="n">
        <v>38.97</v>
      </c>
      <c r="F4" t="inlineStr">
        <is>
          <t>EUR</t>
        </is>
      </c>
      <c r="G4" t="n">
        <v>0.0421</v>
      </c>
      <c r="H4" t="n">
        <v>311.8</v>
      </c>
    </row>
    <row r="5">
      <c r="A5" t="inlineStr">
        <is>
          <t>2026-08-17</t>
        </is>
      </c>
      <c r="B5" t="inlineStr">
        <is>
          <t>HTGC:NYSE</t>
        </is>
      </c>
      <c r="C5" t="inlineStr">
        <is>
          <t>Hercules</t>
        </is>
      </c>
      <c r="D5" t="n">
        <v>3</v>
      </c>
      <c r="E5" t="n">
        <v>16.7</v>
      </c>
      <c r="F5" t="inlineStr">
        <is>
          <t>USD</t>
        </is>
      </c>
      <c r="G5" t="n">
        <v>0.1126</v>
      </c>
      <c r="H5" t="n">
        <v>50.1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 xml:space="preserve">Jesse Boonstoppel </dc:creator>
  <dcterms:created xmlns:dcterms="http://purl.org/dc/terms/" xmlns:xsi="http://www.w3.org/2001/XMLSchema-instance" xsi:type="dcterms:W3CDTF">2026-06-30T13:40:26Z</dcterms:created>
  <dcterms:modified xmlns:dcterms="http://purl.org/dc/terms/" xmlns:xsi="http://www.w3.org/2001/XMLSchema-instance" xsi:type="dcterms:W3CDTF">2026-08-17T12:53:33Z</dcterms:modified>
  <cp:lastModifiedBy xml:space="preserve">Jesse Boonstoppel </cp:lastModifiedBy>
</cp:coreProperties>
</file>