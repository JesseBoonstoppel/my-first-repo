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680" yWindow="1940" windowWidth="20520" windowHeight="169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istory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&quot;€&quot;\ #,##0.00;[Red]&quot;€&quot;\ \-#,##0.00"/>
    <numFmt numFmtId="165" formatCode="&quot;€&quot;\ #,##0;[Red]&quot;€&quot;\ \-#,##0"/>
    <numFmt numFmtId="166" formatCode="_ [$€-2]\ * #,##0.00_ ;_ [$€-2]\ * \-#,##0.00_ ;_ [$€-2]\ * &quot;-&quot;??_ ;_ @_ "/>
  </numFmts>
  <fonts count="5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1" fillId="0" borderId="0"/>
    <xf numFmtId="9" fontId="1" fillId="0" borderId="0"/>
    <xf numFmtId="0" fontId="2" fillId="0" borderId="0"/>
    <xf numFmtId="0" fontId="3" fillId="0" borderId="1"/>
  </cellStyleXfs>
  <cellXfs count="17">
    <xf numFmtId="0" fontId="0" fillId="0" borderId="0" pivotButton="0" quotePrefix="0" xfId="0"/>
    <xf numFmtId="0" fontId="2" fillId="0" borderId="0" pivotButton="0" quotePrefix="0" xfId="2"/>
    <xf numFmtId="164" fontId="0" fillId="0" borderId="0" pivotButton="0" quotePrefix="0" xfId="0"/>
    <xf numFmtId="9" fontId="0" fillId="0" borderId="0" pivotButton="0" quotePrefix="0" xfId="1"/>
    <xf numFmtId="10" fontId="0" fillId="0" borderId="0" pivotButton="0" quotePrefix="0" xfId="1"/>
    <xf numFmtId="0" fontId="4" fillId="0" borderId="0" pivotButton="0" quotePrefix="0" xfId="0"/>
    <xf numFmtId="10" fontId="0" fillId="2" borderId="0" pivotButton="0" quotePrefix="0" xfId="1"/>
    <xf numFmtId="10" fontId="0" fillId="3" borderId="0" pivotButton="0" quotePrefix="0" xfId="1"/>
    <xf numFmtId="0" fontId="3" fillId="0" borderId="1" pivotButton="0" quotePrefix="0" xfId="3"/>
    <xf numFmtId="165" fontId="0" fillId="0" borderId="0" pivotButton="0" quotePrefix="0" xfId="0"/>
    <xf numFmtId="164" fontId="4" fillId="0" borderId="0" pivotButton="0" quotePrefix="0" xfId="0"/>
    <xf numFmtId="0" fontId="0" fillId="0" borderId="0" pivotButton="0" quotePrefix="0" xfId="0"/>
    <xf numFmtId="166" fontId="0" fillId="0" borderId="0" pivotButton="0" quotePrefix="0" xfId="1"/>
    <xf numFmtId="164" fontId="0" fillId="0" borderId="0" pivotButton="0" quotePrefix="0" xfId="0"/>
    <xf numFmtId="166" fontId="0" fillId="0" borderId="0" pivotButton="0" quotePrefix="0" xfId="1"/>
    <xf numFmtId="165" fontId="0" fillId="0" borderId="0" pivotButton="0" quotePrefix="0" xfId="0"/>
    <xf numFmtId="164" fontId="4" fillId="0" borderId="0" pivotButton="0" quotePrefix="0" xfId="0"/>
  </cellXfs>
  <cellStyles count="4">
    <cellStyle name="Normal" xfId="0" builtinId="0"/>
    <cellStyle name="Percent" xfId="1" builtinId="5"/>
    <cellStyle name="Title" xfId="2" builtinId="15"/>
    <cellStyle name="Heading 1" xfId="3" builtinId="1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tabSelected="1" workbookViewId="0">
      <selection activeCell="O26" sqref="O26"/>
    </sheetView>
  </sheetViews>
  <sheetFormatPr baseColWidth="10" defaultRowHeight="16"/>
  <cols>
    <col width="30" bestFit="1" customWidth="1" style="11" min="1" max="1"/>
    <col width="12.1640625" bestFit="1" customWidth="1" style="11" min="2" max="2"/>
    <col width="11.5" bestFit="1" customWidth="1" style="11" min="5" max="5"/>
    <col width="13.6640625" bestFit="1" customWidth="1" style="11" min="6" max="6"/>
    <col width="12.6640625" bestFit="1" customWidth="1" style="11" min="7" max="7"/>
    <col width="12.6640625" customWidth="1" style="11" min="8" max="8"/>
  </cols>
  <sheetData>
    <row r="1" ht="24" customHeight="1" s="11">
      <c r="A1" s="1" t="inlineStr">
        <is>
          <t>Stocks &amp; Bonds - Jesse Boonstoppel</t>
        </is>
      </c>
    </row>
    <row r="2"/>
    <row r="3"/>
    <row r="4"/>
    <row r="5">
      <c r="B5" s="5" t="inlineStr">
        <is>
          <t>Ticker</t>
        </is>
      </c>
      <c r="C5" s="5" t="inlineStr">
        <is>
          <t>Naam</t>
        </is>
      </c>
      <c r="D5" s="5" t="inlineStr">
        <is>
          <t>Aantal</t>
        </is>
      </c>
      <c r="E5" s="5" t="inlineStr">
        <is>
          <t>Aankoopprijs</t>
        </is>
      </c>
      <c r="F5" s="5" t="inlineStr">
        <is>
          <t>Huidige waarde</t>
        </is>
      </c>
      <c r="G5" s="5" t="inlineStr">
        <is>
          <t>% Verandering</t>
        </is>
      </c>
      <c r="H5" s="5" t="inlineStr">
        <is>
          <t>Totale waarde</t>
        </is>
      </c>
      <c r="I5" s="5" t="inlineStr">
        <is>
          <t>Dividend %</t>
        </is>
      </c>
      <c r="J5" s="5" t="inlineStr">
        <is>
          <t>Market</t>
        </is>
      </c>
    </row>
    <row r="6">
      <c r="B6" t="inlineStr">
        <is>
          <t>AD:AMS</t>
        </is>
      </c>
      <c r="C6" t="inlineStr">
        <is>
          <t>Ahold</t>
        </is>
      </c>
      <c r="D6" t="n">
        <v>6</v>
      </c>
      <c r="E6" s="13" t="n">
        <v>41.5</v>
      </c>
      <c r="F6" s="13" t="n">
        <v>31.63</v>
      </c>
      <c r="G6" s="6">
        <f>(F6-E6)/E6</f>
        <v/>
      </c>
      <c r="H6" s="14">
        <f>D6*F6</f>
        <v/>
      </c>
      <c r="I6" s="4" t="n">
        <v>0.0392</v>
      </c>
      <c r="J6" t="inlineStr">
        <is>
          <t>AEX</t>
        </is>
      </c>
    </row>
    <row r="7">
      <c r="B7" t="inlineStr">
        <is>
          <t>ING:AMS</t>
        </is>
      </c>
      <c r="C7" t="inlineStr">
        <is>
          <t>ING</t>
        </is>
      </c>
      <c r="D7" t="n">
        <v>5</v>
      </c>
      <c r="E7" s="13" t="n">
        <v>25.6</v>
      </c>
      <c r="F7" s="13" t="n">
        <v>29.88</v>
      </c>
      <c r="G7" s="7">
        <f>(F7-E7)/E7</f>
        <v/>
      </c>
      <c r="H7" s="14">
        <f>D7*F7</f>
        <v/>
      </c>
      <c r="I7" s="4" t="n">
        <v>0.0438</v>
      </c>
      <c r="J7" t="inlineStr">
        <is>
          <t>AEX</t>
        </is>
      </c>
    </row>
    <row r="8">
      <c r="B8" t="inlineStr">
        <is>
          <t>SHELL:AMS</t>
        </is>
      </c>
      <c r="C8" t="inlineStr">
        <is>
          <t>Shell</t>
        </is>
      </c>
      <c r="D8" t="n">
        <v>8</v>
      </c>
      <c r="E8" s="13" t="n">
        <v>38</v>
      </c>
      <c r="F8" s="13" t="n">
        <v>45.52</v>
      </c>
      <c r="G8" s="6">
        <f>(F8-E8)/E8</f>
        <v/>
      </c>
      <c r="H8" s="14">
        <f>D8*F8</f>
        <v/>
      </c>
      <c r="I8" s="4" t="n">
        <v>0.0297</v>
      </c>
      <c r="J8" t="inlineStr">
        <is>
          <t>AEX</t>
        </is>
      </c>
    </row>
    <row r="9">
      <c r="B9" t="inlineStr">
        <is>
          <t>HTGC:NYSE</t>
        </is>
      </c>
      <c r="C9" t="inlineStr">
        <is>
          <t>Hercules</t>
        </is>
      </c>
      <c r="D9" t="n">
        <v>3</v>
      </c>
      <c r="E9" s="13" t="n">
        <v>14.67</v>
      </c>
      <c r="F9" s="13" t="n">
        <v>16.51</v>
      </c>
      <c r="G9" s="7">
        <f>(F9-E9)/E9</f>
        <v/>
      </c>
      <c r="H9" s="14">
        <f>D9*F9</f>
        <v/>
      </c>
      <c r="I9" s="4" t="n">
        <v>0.1139</v>
      </c>
      <c r="J9" t="inlineStr">
        <is>
          <t>NYSE</t>
        </is>
      </c>
    </row>
    <row r="10"/>
    <row r="11"/>
    <row r="12"/>
    <row r="13" ht="21" customHeight="1" s="11" thickBot="1">
      <c r="B13" s="8" t="inlineStr">
        <is>
          <t xml:space="preserve">Dividends </t>
        </is>
      </c>
    </row>
    <row r="14" ht="17" customHeight="1" s="11" thickTop="1"/>
    <row r="15">
      <c r="B15" s="5" t="inlineStr">
        <is>
          <t>Ticker</t>
        </is>
      </c>
      <c r="C15" s="5" t="inlineStr">
        <is>
          <t>Naam</t>
        </is>
      </c>
      <c r="D15" s="5" t="inlineStr">
        <is>
          <t>Aantal</t>
        </is>
      </c>
      <c r="E15" s="5" t="inlineStr">
        <is>
          <t>Q1</t>
        </is>
      </c>
      <c r="F15" s="5" t="inlineStr">
        <is>
          <t>Q2</t>
        </is>
      </c>
      <c r="G15" s="5" t="inlineStr">
        <is>
          <t>Q3</t>
        </is>
      </c>
      <c r="H15" s="5" t="inlineStr">
        <is>
          <t>Q4</t>
        </is>
      </c>
      <c r="I15" s="5" t="inlineStr">
        <is>
          <t>Totaal</t>
        </is>
      </c>
      <c r="J15" s="5" t="n"/>
    </row>
    <row r="16">
      <c r="B16" t="inlineStr">
        <is>
          <t>AD:AMS</t>
        </is>
      </c>
      <c r="C16" t="inlineStr">
        <is>
          <t>Ahold</t>
        </is>
      </c>
      <c r="D16" t="n">
        <v>6</v>
      </c>
      <c r="E16" s="15" t="n">
        <v>0</v>
      </c>
      <c r="F16" s="13" t="n">
        <v>3.72</v>
      </c>
      <c r="G16" s="3" t="n">
        <v>3.06</v>
      </c>
      <c r="H16" s="3" t="n">
        <v>0</v>
      </c>
      <c r="I16" s="13">
        <f>E16+F16</f>
        <v/>
      </c>
      <c r="J16" s="13" t="n"/>
    </row>
    <row r="17">
      <c r="B17" t="inlineStr">
        <is>
          <t>ING:AMS</t>
        </is>
      </c>
      <c r="C17" t="inlineStr">
        <is>
          <t>ING</t>
        </is>
      </c>
      <c r="D17" t="n">
        <v>5</v>
      </c>
      <c r="E17" s="15" t="n">
        <v>0</v>
      </c>
      <c r="F17" s="13" t="n">
        <v>2.5</v>
      </c>
      <c r="G17" t="n">
        <v>2</v>
      </c>
      <c r="H17" t="n">
        <v>0</v>
      </c>
      <c r="I17" s="13">
        <f>E17+F17</f>
        <v/>
      </c>
      <c r="J17" s="13" t="n"/>
    </row>
    <row r="18">
      <c r="B18" t="inlineStr">
        <is>
          <t>SHELL:AMS</t>
        </is>
      </c>
      <c r="C18" t="inlineStr">
        <is>
          <t>Shell</t>
        </is>
      </c>
      <c r="D18" t="n">
        <v>8</v>
      </c>
      <c r="E18" s="13" t="n">
        <v>0.97</v>
      </c>
      <c r="F18" s="13" t="n">
        <v>2.7</v>
      </c>
      <c r="G18" t="n">
        <v>2.75</v>
      </c>
      <c r="H18" t="n">
        <v>0</v>
      </c>
      <c r="I18" s="13">
        <f>E18+F18</f>
        <v/>
      </c>
      <c r="J18" s="13" t="n"/>
    </row>
    <row r="19">
      <c r="B19" t="inlineStr">
        <is>
          <t>HTGC:NYSE</t>
        </is>
      </c>
      <c r="C19" t="inlineStr">
        <is>
          <t>Hercules</t>
        </is>
      </c>
      <c r="D19" t="n">
        <v>3</v>
      </c>
      <c r="E19" s="15" t="n">
        <v>0</v>
      </c>
      <c r="F19" s="15" t="n">
        <v>0</v>
      </c>
      <c r="G19" t="n">
        <v>1.41</v>
      </c>
      <c r="H19" t="n">
        <v>0</v>
      </c>
      <c r="I19" s="13">
        <f>E19+F19</f>
        <v/>
      </c>
      <c r="J19" s="13" t="n"/>
    </row>
    <row r="20">
      <c r="H20" s="5" t="inlineStr">
        <is>
          <t>Totaal</t>
        </is>
      </c>
      <c r="I20" s="16">
        <f>I16+I17+I18+I19</f>
        <v/>
      </c>
      <c r="J20" s="1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style="11" min="1" max="1"/>
    <col width="12" customWidth="1" style="11" min="2" max="2"/>
    <col width="10" customWidth="1" style="11" min="3" max="3"/>
    <col width="8" customWidth="1" style="11" min="4" max="4"/>
    <col width="10" customWidth="1" style="11" min="5" max="5"/>
    <col width="9" customWidth="1" style="11" min="6" max="6"/>
    <col width="14" customWidth="1" style="11" min="7" max="7"/>
    <col width="12" customWidth="1" style="11" min="8" max="8"/>
  </cols>
  <sheetData>
    <row r="1">
      <c r="A1" t="inlineStr">
        <is>
          <t>Date</t>
        </is>
      </c>
      <c r="B1" t="inlineStr">
        <is>
          <t>Ticker</t>
        </is>
      </c>
      <c r="C1" t="inlineStr">
        <is>
          <t>Naam</t>
        </is>
      </c>
      <c r="D1" t="inlineStr">
        <is>
          <t>Aantal</t>
        </is>
      </c>
      <c r="E1" t="inlineStr">
        <is>
          <t>Price</t>
        </is>
      </c>
      <c r="F1" t="inlineStr">
        <is>
          <t>Currency</t>
        </is>
      </c>
      <c r="G1" t="inlineStr">
        <is>
          <t>Dividend Yield</t>
        </is>
      </c>
      <c r="H1" t="inlineStr">
        <is>
          <t>Total Value</t>
        </is>
      </c>
    </row>
    <row r="2">
      <c r="A2" t="inlineStr">
        <is>
          <t>2026-08-17</t>
        </is>
      </c>
      <c r="B2" t="inlineStr">
        <is>
          <t>AD:AMS</t>
        </is>
      </c>
      <c r="C2" t="inlineStr">
        <is>
          <t>Ahold</t>
        </is>
      </c>
      <c r="D2" t="n">
        <v>6</v>
      </c>
      <c r="E2" t="n">
        <v>31.88</v>
      </c>
      <c r="F2" t="inlineStr">
        <is>
          <t>EUR</t>
        </is>
      </c>
      <c r="G2" t="n">
        <v>0.0389</v>
      </c>
      <c r="H2" t="n">
        <v>191.28</v>
      </c>
    </row>
    <row r="3">
      <c r="A3" t="inlineStr">
        <is>
          <t>2026-08-17</t>
        </is>
      </c>
      <c r="B3" t="inlineStr">
        <is>
          <t>ING:AMS</t>
        </is>
      </c>
      <c r="C3" t="inlineStr">
        <is>
          <t>ING</t>
        </is>
      </c>
      <c r="D3" t="n">
        <v>5</v>
      </c>
      <c r="E3" t="n">
        <v>30.95</v>
      </c>
      <c r="F3" t="inlineStr">
        <is>
          <t>EUR</t>
        </is>
      </c>
      <c r="G3" t="n">
        <v>0.0423</v>
      </c>
      <c r="H3" t="n">
        <v>154.77</v>
      </c>
    </row>
    <row r="4">
      <c r="A4" t="inlineStr">
        <is>
          <t>2026-08-17</t>
        </is>
      </c>
      <c r="B4" t="inlineStr">
        <is>
          <t>SHELL:AMS</t>
        </is>
      </c>
      <c r="C4" t="inlineStr">
        <is>
          <t>Shell</t>
        </is>
      </c>
      <c r="D4" t="n">
        <v>8</v>
      </c>
      <c r="E4" t="n">
        <v>38.97</v>
      </c>
      <c r="F4" t="inlineStr">
        <is>
          <t>EUR</t>
        </is>
      </c>
      <c r="G4" t="n">
        <v>0.0421</v>
      </c>
      <c r="H4" t="n">
        <v>311.8</v>
      </c>
    </row>
    <row r="5">
      <c r="A5" t="inlineStr">
        <is>
          <t>2026-08-17</t>
        </is>
      </c>
      <c r="B5" t="inlineStr">
        <is>
          <t>HTGC:NYSE</t>
        </is>
      </c>
      <c r="C5" t="inlineStr">
        <is>
          <t>Hercules</t>
        </is>
      </c>
      <c r="D5" t="n">
        <v>3</v>
      </c>
      <c r="E5" t="n">
        <v>16.7</v>
      </c>
      <c r="F5" t="inlineStr">
        <is>
          <t>USD</t>
        </is>
      </c>
      <c r="G5" t="n">
        <v>0.1126</v>
      </c>
      <c r="H5" t="n">
        <v>50.1</v>
      </c>
    </row>
    <row r="6">
      <c r="A6" t="inlineStr">
        <is>
          <t>2026-08-24</t>
        </is>
      </c>
      <c r="B6" t="inlineStr">
        <is>
          <t>AD:AMS</t>
        </is>
      </c>
      <c r="C6" t="inlineStr">
        <is>
          <t>Ahold</t>
        </is>
      </c>
      <c r="D6" t="n">
        <v>6</v>
      </c>
      <c r="E6" t="n">
        <v>31.04</v>
      </c>
      <c r="F6" t="inlineStr">
        <is>
          <t>EUR</t>
        </is>
      </c>
      <c r="G6" t="n">
        <v>0.0399</v>
      </c>
      <c r="H6" t="n">
        <v>186.24</v>
      </c>
    </row>
    <row r="7">
      <c r="A7" t="inlineStr">
        <is>
          <t>2026-08-24</t>
        </is>
      </c>
      <c r="B7" t="inlineStr">
        <is>
          <t>ING:AMS</t>
        </is>
      </c>
      <c r="C7" t="inlineStr">
        <is>
          <t>ING</t>
        </is>
      </c>
      <c r="D7" t="n">
        <v>5</v>
      </c>
      <c r="E7" t="n">
        <v>29.83</v>
      </c>
      <c r="F7" t="inlineStr">
        <is>
          <t>EUR</t>
        </is>
      </c>
      <c r="G7" t="n">
        <v>0.0438</v>
      </c>
      <c r="H7" t="n">
        <v>149.15</v>
      </c>
    </row>
    <row r="8">
      <c r="A8" t="inlineStr">
        <is>
          <t>2026-08-24</t>
        </is>
      </c>
      <c r="B8" t="inlineStr">
        <is>
          <t>SHELL:AMS</t>
        </is>
      </c>
      <c r="C8" t="inlineStr">
        <is>
          <t>Shell</t>
        </is>
      </c>
      <c r="D8" t="n">
        <v>8</v>
      </c>
      <c r="E8" t="n">
        <v>39.91</v>
      </c>
      <c r="F8" t="inlineStr">
        <is>
          <t>EUR</t>
        </is>
      </c>
      <c r="G8" t="n">
        <v>0.0408</v>
      </c>
      <c r="H8" t="n">
        <v>319.28</v>
      </c>
    </row>
    <row r="9">
      <c r="A9" t="inlineStr">
        <is>
          <t>2026-08-24</t>
        </is>
      </c>
      <c r="B9" t="inlineStr">
        <is>
          <t>HTGC:NYSE</t>
        </is>
      </c>
      <c r="C9" t="inlineStr">
        <is>
          <t>Hercules</t>
        </is>
      </c>
      <c r="D9" t="n">
        <v>3</v>
      </c>
      <c r="E9" t="n">
        <v>17.13</v>
      </c>
      <c r="F9" t="inlineStr">
        <is>
          <t>USD</t>
        </is>
      </c>
      <c r="G9" t="n">
        <v>0.1097</v>
      </c>
      <c r="H9" t="n">
        <v>51.39</v>
      </c>
    </row>
    <row r="10">
      <c r="A10" t="inlineStr">
        <is>
          <t>2026-08-31</t>
        </is>
      </c>
      <c r="B10" t="inlineStr">
        <is>
          <t>AD:AMS</t>
        </is>
      </c>
      <c r="C10" t="inlineStr">
        <is>
          <t>Ahold</t>
        </is>
      </c>
      <c r="D10" t="n">
        <v>6</v>
      </c>
      <c r="E10" t="n">
        <v>30.54</v>
      </c>
      <c r="F10" t="inlineStr">
        <is>
          <t>EUR</t>
        </is>
      </c>
      <c r="G10" t="n">
        <v>0.0406</v>
      </c>
      <c r="H10" t="n">
        <v>183.24</v>
      </c>
    </row>
    <row r="11">
      <c r="A11" t="inlineStr">
        <is>
          <t>2026-08-31</t>
        </is>
      </c>
      <c r="B11" t="inlineStr">
        <is>
          <t>ING:AMS</t>
        </is>
      </c>
      <c r="C11" t="inlineStr">
        <is>
          <t>ING</t>
        </is>
      </c>
      <c r="D11" t="n">
        <v>5</v>
      </c>
      <c r="E11" t="n">
        <v>30.59</v>
      </c>
      <c r="F11" t="inlineStr">
        <is>
          <t>EUR</t>
        </is>
      </c>
      <c r="G11" t="n">
        <v>0.0428</v>
      </c>
      <c r="H11" t="n">
        <v>152.95</v>
      </c>
    </row>
    <row r="12">
      <c r="A12" t="inlineStr">
        <is>
          <t>2026-08-31</t>
        </is>
      </c>
      <c r="B12" t="inlineStr">
        <is>
          <t>SHELL:AMS</t>
        </is>
      </c>
      <c r="C12" t="inlineStr">
        <is>
          <t>Shell</t>
        </is>
      </c>
      <c r="D12" t="n">
        <v>8</v>
      </c>
      <c r="E12" t="n">
        <v>39.58</v>
      </c>
      <c r="F12" t="inlineStr">
        <is>
          <t>EUR</t>
        </is>
      </c>
      <c r="G12" t="n">
        <v>0.0414</v>
      </c>
      <c r="H12" t="n">
        <v>316.68</v>
      </c>
    </row>
    <row r="13">
      <c r="A13" t="inlineStr">
        <is>
          <t>2026-08-31</t>
        </is>
      </c>
      <c r="B13" t="inlineStr">
        <is>
          <t>HTGC:NYSE</t>
        </is>
      </c>
      <c r="C13" t="inlineStr">
        <is>
          <t>Hercules</t>
        </is>
      </c>
      <c r="D13" t="n">
        <v>3</v>
      </c>
      <c r="E13" t="n">
        <v>17.48</v>
      </c>
      <c r="F13" t="inlineStr">
        <is>
          <t>USD</t>
        </is>
      </c>
      <c r="G13" t="n">
        <v>0.1076</v>
      </c>
      <c r="H13" t="n">
        <v>52.44</v>
      </c>
    </row>
    <row r="14">
      <c r="A14" t="inlineStr">
        <is>
          <t>2026-09-07</t>
        </is>
      </c>
      <c r="B14" t="inlineStr">
        <is>
          <t>AD:AMS</t>
        </is>
      </c>
      <c r="C14" t="inlineStr">
        <is>
          <t>Ahold</t>
        </is>
      </c>
      <c r="D14" t="n">
        <v>6</v>
      </c>
      <c r="E14" t="n">
        <v>31.39</v>
      </c>
      <c r="F14" t="inlineStr">
        <is>
          <t>EUR</t>
        </is>
      </c>
      <c r="G14" t="n">
        <v>0.0395</v>
      </c>
      <c r="H14" t="n">
        <v>188.34</v>
      </c>
    </row>
    <row r="15">
      <c r="A15" t="inlineStr">
        <is>
          <t>2026-09-07</t>
        </is>
      </c>
      <c r="B15" t="inlineStr">
        <is>
          <t>ING:AMS</t>
        </is>
      </c>
      <c r="C15" t="inlineStr">
        <is>
          <t>ING</t>
        </is>
      </c>
      <c r="D15" t="n">
        <v>5</v>
      </c>
      <c r="E15" t="n">
        <v>32.04</v>
      </c>
      <c r="F15" t="inlineStr">
        <is>
          <t>EUR</t>
        </is>
      </c>
      <c r="G15" t="n">
        <v>0.0408</v>
      </c>
      <c r="H15" t="n">
        <v>160.2</v>
      </c>
    </row>
    <row r="16">
      <c r="A16" t="inlineStr">
        <is>
          <t>2026-09-07</t>
        </is>
      </c>
      <c r="B16" t="inlineStr">
        <is>
          <t>SHELL:AMS</t>
        </is>
      </c>
      <c r="C16" t="inlineStr">
        <is>
          <t>Shell</t>
        </is>
      </c>
      <c r="D16" t="n">
        <v>8</v>
      </c>
      <c r="E16" t="n">
        <v>40.49</v>
      </c>
      <c r="F16" t="inlineStr">
        <is>
          <t>EUR</t>
        </is>
      </c>
      <c r="G16" t="n">
        <v>0.0404</v>
      </c>
      <c r="H16" t="n">
        <v>323.88</v>
      </c>
    </row>
    <row r="17">
      <c r="A17" t="inlineStr">
        <is>
          <t>2026-09-07</t>
        </is>
      </c>
      <c r="B17" t="inlineStr">
        <is>
          <t>HTGC:NYSE</t>
        </is>
      </c>
      <c r="C17" t="inlineStr">
        <is>
          <t>Hercules</t>
        </is>
      </c>
      <c r="D17" t="n">
        <v>3</v>
      </c>
      <c r="E17" t="n">
        <v>17.63</v>
      </c>
      <c r="F17" t="inlineStr">
        <is>
          <t>USD</t>
        </is>
      </c>
      <c r="G17" t="n">
        <v>0.1066</v>
      </c>
      <c r="H17" t="n">
        <v>52.89</v>
      </c>
    </row>
    <row r="18">
      <c r="A18" t="inlineStr">
        <is>
          <t>2026-09-14</t>
        </is>
      </c>
      <c r="B18" t="inlineStr">
        <is>
          <t>AD:AMS</t>
        </is>
      </c>
      <c r="C18" t="inlineStr">
        <is>
          <t>Ahold</t>
        </is>
      </c>
      <c r="D18" t="n">
        <v>6</v>
      </c>
      <c r="E18" t="n">
        <v>31.53</v>
      </c>
      <c r="F18" t="inlineStr">
        <is>
          <t>EUR</t>
        </is>
      </c>
      <c r="G18" t="n">
        <v>0.0393</v>
      </c>
      <c r="H18" t="n">
        <v>189.18</v>
      </c>
    </row>
    <row r="19">
      <c r="A19" t="inlineStr">
        <is>
          <t>2026-09-14</t>
        </is>
      </c>
      <c r="B19" t="inlineStr">
        <is>
          <t>ING:AMS</t>
        </is>
      </c>
      <c r="C19" t="inlineStr">
        <is>
          <t>ING</t>
        </is>
      </c>
      <c r="D19" t="n">
        <v>5</v>
      </c>
      <c r="E19" t="n">
        <v>31.77</v>
      </c>
      <c r="F19" t="inlineStr">
        <is>
          <t>EUR</t>
        </is>
      </c>
      <c r="G19" t="n">
        <v>0.0412</v>
      </c>
      <c r="H19" t="n">
        <v>158.87</v>
      </c>
    </row>
    <row r="20">
      <c r="A20" t="inlineStr">
        <is>
          <t>2026-09-14</t>
        </is>
      </c>
      <c r="B20" t="inlineStr">
        <is>
          <t>SHELL:AMS</t>
        </is>
      </c>
      <c r="C20" t="inlineStr">
        <is>
          <t>Shell</t>
        </is>
      </c>
      <c r="D20" t="n">
        <v>8</v>
      </c>
      <c r="E20" t="n">
        <v>41.99</v>
      </c>
      <c r="F20" t="inlineStr">
        <is>
          <t>EUR</t>
        </is>
      </c>
      <c r="G20" t="n">
        <v>0.0312</v>
      </c>
      <c r="H20" t="n">
        <v>335.88</v>
      </c>
    </row>
    <row r="21">
      <c r="A21" t="inlineStr">
        <is>
          <t>2026-09-14</t>
        </is>
      </c>
      <c r="B21" t="inlineStr">
        <is>
          <t>HTGC:NYSE</t>
        </is>
      </c>
      <c r="C21" t="inlineStr">
        <is>
          <t>Hercules</t>
        </is>
      </c>
      <c r="D21" t="n">
        <v>3</v>
      </c>
      <c r="E21" t="n">
        <v>17.41</v>
      </c>
      <c r="F21" t="inlineStr">
        <is>
          <t>USD</t>
        </is>
      </c>
      <c r="G21" t="n">
        <v>0.108</v>
      </c>
      <c r="H21" t="n">
        <v>52.23</v>
      </c>
    </row>
    <row r="22">
      <c r="A22" t="inlineStr">
        <is>
          <t>2026-09-21</t>
        </is>
      </c>
      <c r="B22" t="inlineStr">
        <is>
          <t>AD:AMS</t>
        </is>
      </c>
      <c r="C22" t="inlineStr">
        <is>
          <t>Ahold</t>
        </is>
      </c>
      <c r="D22" t="n">
        <v>6</v>
      </c>
      <c r="E22" t="n">
        <v>31.73</v>
      </c>
      <c r="F22" t="inlineStr">
        <is>
          <t>EUR</t>
        </is>
      </c>
      <c r="G22" t="n">
        <v>0.0391</v>
      </c>
      <c r="H22" t="n">
        <v>190.38</v>
      </c>
    </row>
    <row r="23">
      <c r="A23" t="inlineStr">
        <is>
          <t>2026-09-21</t>
        </is>
      </c>
      <c r="B23" t="inlineStr">
        <is>
          <t>ING:AMS</t>
        </is>
      </c>
      <c r="C23" t="inlineStr">
        <is>
          <t>ING</t>
        </is>
      </c>
      <c r="D23" t="n">
        <v>5</v>
      </c>
      <c r="E23" t="n">
        <v>32.08</v>
      </c>
      <c r="F23" t="inlineStr">
        <is>
          <t>EUR</t>
        </is>
      </c>
      <c r="G23" t="n">
        <v>0.0408</v>
      </c>
      <c r="H23" t="n">
        <v>160.4</v>
      </c>
    </row>
    <row r="24">
      <c r="A24" t="inlineStr">
        <is>
          <t>2026-09-21</t>
        </is>
      </c>
      <c r="B24" t="inlineStr">
        <is>
          <t>SHELL:AMS</t>
        </is>
      </c>
      <c r="C24" t="inlineStr">
        <is>
          <t>Shell</t>
        </is>
      </c>
      <c r="D24" t="n">
        <v>8</v>
      </c>
      <c r="E24" t="n">
        <v>41.26</v>
      </c>
      <c r="F24" t="inlineStr">
        <is>
          <t>EUR</t>
        </is>
      </c>
      <c r="G24" t="n">
        <v>0.0319</v>
      </c>
      <c r="H24" t="n">
        <v>330.08</v>
      </c>
    </row>
    <row r="25">
      <c r="A25" t="inlineStr">
        <is>
          <t>2026-09-21</t>
        </is>
      </c>
      <c r="B25" t="inlineStr">
        <is>
          <t>HTGC:NYSE</t>
        </is>
      </c>
      <c r="C25" t="inlineStr">
        <is>
          <t>Hercules</t>
        </is>
      </c>
      <c r="D25" t="n">
        <v>3</v>
      </c>
      <c r="E25" t="n">
        <v>17.33</v>
      </c>
      <c r="F25" t="inlineStr">
        <is>
          <t>USD</t>
        </is>
      </c>
      <c r="G25" t="n">
        <v>0.1085</v>
      </c>
      <c r="H25" t="n">
        <v>51.99</v>
      </c>
    </row>
    <row r="26">
      <c r="A26" t="inlineStr">
        <is>
          <t>2026-09-28</t>
        </is>
      </c>
      <c r="B26" t="inlineStr">
        <is>
          <t>AD:AMS</t>
        </is>
      </c>
      <c r="C26" t="inlineStr">
        <is>
          <t>Ahold</t>
        </is>
      </c>
      <c r="D26" t="n">
        <v>6</v>
      </c>
      <c r="E26" t="n">
        <v>32.22</v>
      </c>
      <c r="F26" t="inlineStr">
        <is>
          <t>EUR</t>
        </is>
      </c>
      <c r="G26" t="n">
        <v>0.0385</v>
      </c>
      <c r="H26" t="n">
        <v>193.32</v>
      </c>
    </row>
    <row r="27">
      <c r="A27" t="inlineStr">
        <is>
          <t>2026-09-28</t>
        </is>
      </c>
      <c r="B27" t="inlineStr">
        <is>
          <t>ING:AMS</t>
        </is>
      </c>
      <c r="C27" t="inlineStr">
        <is>
          <t>ING</t>
        </is>
      </c>
      <c r="D27" t="n">
        <v>5</v>
      </c>
      <c r="E27" t="n">
        <v>31.85</v>
      </c>
      <c r="F27" t="inlineStr">
        <is>
          <t>EUR</t>
        </is>
      </c>
      <c r="G27" t="n">
        <v>0.0411</v>
      </c>
      <c r="H27" t="n">
        <v>159.25</v>
      </c>
    </row>
    <row r="28">
      <c r="A28" t="inlineStr">
        <is>
          <t>2026-09-28</t>
        </is>
      </c>
      <c r="B28" t="inlineStr">
        <is>
          <t>SHELL:AMS</t>
        </is>
      </c>
      <c r="C28" t="inlineStr">
        <is>
          <t>Shell</t>
        </is>
      </c>
      <c r="D28" t="n">
        <v>8</v>
      </c>
      <c r="E28" t="n">
        <v>42.82</v>
      </c>
      <c r="F28" t="inlineStr">
        <is>
          <t>EUR</t>
        </is>
      </c>
      <c r="G28" t="n">
        <v>0.031</v>
      </c>
      <c r="H28" t="n">
        <v>342.56</v>
      </c>
    </row>
    <row r="29">
      <c r="A29" t="inlineStr">
        <is>
          <t>2026-09-28</t>
        </is>
      </c>
      <c r="B29" t="inlineStr">
        <is>
          <t>HTGC:NYSE</t>
        </is>
      </c>
      <c r="C29" t="inlineStr">
        <is>
          <t>Hercules</t>
        </is>
      </c>
      <c r="D29" t="n">
        <v>3</v>
      </c>
      <c r="E29" t="n">
        <v>16.97</v>
      </c>
      <c r="F29" t="inlineStr">
        <is>
          <t>USD</t>
        </is>
      </c>
      <c r="G29" t="n">
        <v>0.1108</v>
      </c>
      <c r="H29" t="n">
        <v>50.91</v>
      </c>
    </row>
    <row r="30">
      <c r="A30" t="inlineStr">
        <is>
          <t>2026-10-05</t>
        </is>
      </c>
      <c r="B30" t="inlineStr">
        <is>
          <t>AD:AMS</t>
        </is>
      </c>
      <c r="C30" t="inlineStr">
        <is>
          <t>Ahold</t>
        </is>
      </c>
      <c r="D30" t="n">
        <v>6</v>
      </c>
      <c r="E30" t="n">
        <v>31.74</v>
      </c>
      <c r="F30" t="inlineStr">
        <is>
          <t>EUR</t>
        </is>
      </c>
      <c r="G30" t="n">
        <v>0.0391</v>
      </c>
      <c r="H30" t="n">
        <v>190.44</v>
      </c>
    </row>
    <row r="31">
      <c r="A31" t="inlineStr">
        <is>
          <t>2026-10-05</t>
        </is>
      </c>
      <c r="B31" t="inlineStr">
        <is>
          <t>ING:AMS</t>
        </is>
      </c>
      <c r="C31" t="inlineStr">
        <is>
          <t>ING</t>
        </is>
      </c>
      <c r="D31" t="n">
        <v>5</v>
      </c>
      <c r="E31" t="n">
        <v>30.97</v>
      </c>
      <c r="F31" t="inlineStr">
        <is>
          <t>EUR</t>
        </is>
      </c>
      <c r="G31" t="n">
        <v>0.0422</v>
      </c>
      <c r="H31" t="n">
        <v>154.85</v>
      </c>
    </row>
    <row r="32">
      <c r="A32" t="inlineStr">
        <is>
          <t>2026-10-05</t>
        </is>
      </c>
      <c r="B32" t="inlineStr">
        <is>
          <t>SHELL:AMS</t>
        </is>
      </c>
      <c r="C32" t="inlineStr">
        <is>
          <t>Shell</t>
        </is>
      </c>
      <c r="D32" t="n">
        <v>8</v>
      </c>
      <c r="E32" t="n">
        <v>42.99</v>
      </c>
      <c r="F32" t="inlineStr">
        <is>
          <t>EUR</t>
        </is>
      </c>
      <c r="G32" t="n">
        <v>0.0314</v>
      </c>
      <c r="H32" t="n">
        <v>343.88</v>
      </c>
    </row>
    <row r="33">
      <c r="A33" t="inlineStr">
        <is>
          <t>2026-10-05</t>
        </is>
      </c>
      <c r="B33" t="inlineStr">
        <is>
          <t>HTGC:NYSE</t>
        </is>
      </c>
      <c r="C33" t="inlineStr">
        <is>
          <t>Hercules</t>
        </is>
      </c>
      <c r="D33" t="n">
        <v>3</v>
      </c>
      <c r="E33" t="n">
        <v>16.74</v>
      </c>
      <c r="F33" t="inlineStr">
        <is>
          <t>USD</t>
        </is>
      </c>
      <c r="G33" t="n">
        <v>0.1123</v>
      </c>
      <c r="H33" t="n">
        <v>50.22</v>
      </c>
    </row>
    <row r="34">
      <c r="A34" t="inlineStr">
        <is>
          <t>2026-10-12</t>
        </is>
      </c>
      <c r="B34" t="inlineStr">
        <is>
          <t>AD:AMS</t>
        </is>
      </c>
      <c r="C34" t="inlineStr">
        <is>
          <t>Ahold</t>
        </is>
      </c>
      <c r="D34" t="n">
        <v>6</v>
      </c>
      <c r="E34" t="n">
        <v>31.63</v>
      </c>
      <c r="F34" t="inlineStr">
        <is>
          <t>EUR</t>
        </is>
      </c>
      <c r="G34" t="n">
        <v>0.0392</v>
      </c>
      <c r="H34" t="n">
        <v>189.78</v>
      </c>
    </row>
    <row r="35">
      <c r="A35" t="inlineStr">
        <is>
          <t>2026-10-12</t>
        </is>
      </c>
      <c r="B35" t="inlineStr">
        <is>
          <t>ING:AMS</t>
        </is>
      </c>
      <c r="C35" t="inlineStr">
        <is>
          <t>ING</t>
        </is>
      </c>
      <c r="D35" t="n">
        <v>5</v>
      </c>
      <c r="E35" t="n">
        <v>29.88</v>
      </c>
      <c r="F35" t="inlineStr">
        <is>
          <t>EUR</t>
        </is>
      </c>
      <c r="G35" t="n">
        <v>0.0438</v>
      </c>
      <c r="H35" t="n">
        <v>149.38</v>
      </c>
    </row>
    <row r="36">
      <c r="A36" t="inlineStr">
        <is>
          <t>2026-10-12</t>
        </is>
      </c>
      <c r="B36" t="inlineStr">
        <is>
          <t>SHELL:AMS</t>
        </is>
      </c>
      <c r="C36" t="inlineStr">
        <is>
          <t>Shell</t>
        </is>
      </c>
      <c r="D36" t="n">
        <v>8</v>
      </c>
      <c r="E36" t="n">
        <v>45.52</v>
      </c>
      <c r="F36" t="inlineStr">
        <is>
          <t>EUR</t>
        </is>
      </c>
      <c r="G36" t="n">
        <v>0.0297</v>
      </c>
      <c r="H36" t="n">
        <v>364.16</v>
      </c>
    </row>
    <row r="37">
      <c r="A37" t="inlineStr">
        <is>
          <t>2026-10-12</t>
        </is>
      </c>
      <c r="B37" t="inlineStr">
        <is>
          <t>HTGC:NYSE</t>
        </is>
      </c>
      <c r="C37" t="inlineStr">
        <is>
          <t>Hercules</t>
        </is>
      </c>
      <c r="D37" t="n">
        <v>3</v>
      </c>
      <c r="E37" t="n">
        <v>16.51</v>
      </c>
      <c r="F37" t="inlineStr">
        <is>
          <t>USD</t>
        </is>
      </c>
      <c r="G37" t="n">
        <v>0.1139</v>
      </c>
      <c r="H37" t="n">
        <v>49.53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 xml:space="preserve">Jesse Boonstoppel </dc:creator>
  <dcterms:created xmlns:dcterms="http://purl.org/dc/terms/" xmlns:xsi="http://www.w3.org/2001/XMLSchema-instance" xsi:type="dcterms:W3CDTF">2026-06-30T13:40:26Z</dcterms:created>
  <dcterms:modified xmlns:dcterms="http://purl.org/dc/terms/" xmlns:xsi="http://www.w3.org/2001/XMLSchema-instance" xsi:type="dcterms:W3CDTF">2026-10-12T12:54:13Z</dcterms:modified>
  <cp:lastModifiedBy xml:space="preserve">Jesse Boonstoppel </cp:lastModifiedBy>
</cp:coreProperties>
</file>