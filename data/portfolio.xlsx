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30.54</v>
      </c>
      <c r="G6" s="6">
        <f>(F6-E6)/E6</f>
        <v/>
      </c>
      <c r="H6" s="14">
        <f>D6*F6</f>
        <v/>
      </c>
      <c r="I6" s="4" t="n">
        <v>0.0406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30.59</v>
      </c>
      <c r="G7" s="7">
        <f>(F7-E7)/E7</f>
        <v/>
      </c>
      <c r="H7" s="14">
        <f>D7*F7</f>
        <v/>
      </c>
      <c r="I7" s="4" t="n">
        <v>0.0428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39.58</v>
      </c>
      <c r="G8" s="6">
        <f>(F8-E8)/E8</f>
        <v/>
      </c>
      <c r="H8" s="14">
        <f>D8*F8</f>
        <v/>
      </c>
      <c r="I8" s="4" t="n">
        <v>0.0414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17.48</v>
      </c>
      <c r="G9" s="7">
        <f>(F9-E9)/E9</f>
        <v/>
      </c>
      <c r="H9" s="14">
        <f>D9*F9</f>
        <v/>
      </c>
      <c r="I9" s="4" t="n">
        <v>0.1076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5.38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  <row r="10">
      <c r="A10" t="inlineStr">
        <is>
          <t>2026-08-31</t>
        </is>
      </c>
      <c r="B10" t="inlineStr">
        <is>
          <t>AD:AMS</t>
        </is>
      </c>
      <c r="C10" t="inlineStr">
        <is>
          <t>Ahold</t>
        </is>
      </c>
      <c r="D10" t="n">
        <v>6</v>
      </c>
      <c r="E10" t="n">
        <v>30.54</v>
      </c>
      <c r="F10" t="inlineStr">
        <is>
          <t>EUR</t>
        </is>
      </c>
      <c r="G10" t="n">
        <v>0.0406</v>
      </c>
      <c r="H10" t="n">
        <v>183.24</v>
      </c>
    </row>
    <row r="11">
      <c r="A11" t="inlineStr">
        <is>
          <t>2026-08-31</t>
        </is>
      </c>
      <c r="B11" t="inlineStr">
        <is>
          <t>ING:AMS</t>
        </is>
      </c>
      <c r="C11" t="inlineStr">
        <is>
          <t>ING</t>
        </is>
      </c>
      <c r="D11" t="n">
        <v>5</v>
      </c>
      <c r="E11" t="n">
        <v>30.59</v>
      </c>
      <c r="F11" t="inlineStr">
        <is>
          <t>EUR</t>
        </is>
      </c>
      <c r="G11" t="n">
        <v>0.0428</v>
      </c>
      <c r="H11" t="n">
        <v>152.95</v>
      </c>
    </row>
    <row r="12">
      <c r="A12" t="inlineStr">
        <is>
          <t>2026-08-31</t>
        </is>
      </c>
      <c r="B12" t="inlineStr">
        <is>
          <t>SHELL:AMS</t>
        </is>
      </c>
      <c r="C12" t="inlineStr">
        <is>
          <t>Shell</t>
        </is>
      </c>
      <c r="D12" t="n">
        <v>8</v>
      </c>
      <c r="E12" t="n">
        <v>39.58</v>
      </c>
      <c r="F12" t="inlineStr">
        <is>
          <t>EUR</t>
        </is>
      </c>
      <c r="G12" t="n">
        <v>0.0414</v>
      </c>
      <c r="H12" t="n">
        <v>316.68</v>
      </c>
    </row>
    <row r="13">
      <c r="A13" t="inlineStr">
        <is>
          <t>2026-08-31</t>
        </is>
      </c>
      <c r="B13" t="inlineStr">
        <is>
          <t>HTGC:NYSE</t>
        </is>
      </c>
      <c r="C13" t="inlineStr">
        <is>
          <t>Hercules</t>
        </is>
      </c>
      <c r="D13" t="n">
        <v>3</v>
      </c>
      <c r="E13" t="n">
        <v>17.48</v>
      </c>
      <c r="F13" t="inlineStr">
        <is>
          <t>USD</t>
        </is>
      </c>
      <c r="G13" t="n">
        <v>0.1076</v>
      </c>
      <c r="H13" t="n">
        <v>52.44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2026-08-31T11:28:05Z</dcterms:modified>
  <cp:lastModifiedBy xml:space="preserve">Jesse Boonstoppel </cp:lastModifiedBy>
</cp:coreProperties>
</file>