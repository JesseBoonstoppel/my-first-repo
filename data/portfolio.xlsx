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31.53</v>
      </c>
      <c r="G6" s="6">
        <f>(F6-E6)/E6</f>
        <v/>
      </c>
      <c r="H6" s="14">
        <f>D6*F6</f>
        <v/>
      </c>
      <c r="I6" s="4" t="n">
        <v>0.0393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31.77</v>
      </c>
      <c r="G7" s="7">
        <f>(F7-E7)/E7</f>
        <v/>
      </c>
      <c r="H7" s="14">
        <f>D7*F7</f>
        <v/>
      </c>
      <c r="I7" s="4" t="n">
        <v>0.0412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41.99</v>
      </c>
      <c r="G8" s="6">
        <f>(F8-E8)/E8</f>
        <v/>
      </c>
      <c r="H8" s="14">
        <f>D8*F8</f>
        <v/>
      </c>
      <c r="I8" s="4" t="n">
        <v>0.0312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17.41</v>
      </c>
      <c r="G9" s="7">
        <f>(F9-E9)/E9</f>
        <v/>
      </c>
      <c r="H9" s="14">
        <f>D9*F9</f>
        <v/>
      </c>
      <c r="I9" s="4" t="n">
        <v>0.108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2.71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  <row r="14">
      <c r="A14" t="inlineStr">
        <is>
          <t>2026-09-07</t>
        </is>
      </c>
      <c r="B14" t="inlineStr">
        <is>
          <t>AD:AMS</t>
        </is>
      </c>
      <c r="C14" t="inlineStr">
        <is>
          <t>Ahold</t>
        </is>
      </c>
      <c r="D14" t="n">
        <v>6</v>
      </c>
      <c r="E14" t="n">
        <v>31.39</v>
      </c>
      <c r="F14" t="inlineStr">
        <is>
          <t>EUR</t>
        </is>
      </c>
      <c r="G14" t="n">
        <v>0.0395</v>
      </c>
      <c r="H14" t="n">
        <v>188.34</v>
      </c>
    </row>
    <row r="15">
      <c r="A15" t="inlineStr">
        <is>
          <t>2026-09-07</t>
        </is>
      </c>
      <c r="B15" t="inlineStr">
        <is>
          <t>ING:AMS</t>
        </is>
      </c>
      <c r="C15" t="inlineStr">
        <is>
          <t>ING</t>
        </is>
      </c>
      <c r="D15" t="n">
        <v>5</v>
      </c>
      <c r="E15" t="n">
        <v>32.04</v>
      </c>
      <c r="F15" t="inlineStr">
        <is>
          <t>EUR</t>
        </is>
      </c>
      <c r="G15" t="n">
        <v>0.0408</v>
      </c>
      <c r="H15" t="n">
        <v>160.2</v>
      </c>
    </row>
    <row r="16">
      <c r="A16" t="inlineStr">
        <is>
          <t>2026-09-07</t>
        </is>
      </c>
      <c r="B16" t="inlineStr">
        <is>
          <t>SHELL:AMS</t>
        </is>
      </c>
      <c r="C16" t="inlineStr">
        <is>
          <t>Shell</t>
        </is>
      </c>
      <c r="D16" t="n">
        <v>8</v>
      </c>
      <c r="E16" t="n">
        <v>40.49</v>
      </c>
      <c r="F16" t="inlineStr">
        <is>
          <t>EUR</t>
        </is>
      </c>
      <c r="G16" t="n">
        <v>0.0404</v>
      </c>
      <c r="H16" t="n">
        <v>323.88</v>
      </c>
    </row>
    <row r="17">
      <c r="A17" t="inlineStr">
        <is>
          <t>2026-09-07</t>
        </is>
      </c>
      <c r="B17" t="inlineStr">
        <is>
          <t>HTGC:NYSE</t>
        </is>
      </c>
      <c r="C17" t="inlineStr">
        <is>
          <t>Hercules</t>
        </is>
      </c>
      <c r="D17" t="n">
        <v>3</v>
      </c>
      <c r="E17" t="n">
        <v>17.63</v>
      </c>
      <c r="F17" t="inlineStr">
        <is>
          <t>USD</t>
        </is>
      </c>
      <c r="G17" t="n">
        <v>0.1066</v>
      </c>
      <c r="H17" t="n">
        <v>52.89</v>
      </c>
    </row>
    <row r="18">
      <c r="A18" t="inlineStr">
        <is>
          <t>2026-09-14</t>
        </is>
      </c>
      <c r="B18" t="inlineStr">
        <is>
          <t>AD:AMS</t>
        </is>
      </c>
      <c r="C18" t="inlineStr">
        <is>
          <t>Ahold</t>
        </is>
      </c>
      <c r="D18" t="n">
        <v>6</v>
      </c>
      <c r="E18" t="n">
        <v>31.53</v>
      </c>
      <c r="F18" t="inlineStr">
        <is>
          <t>EUR</t>
        </is>
      </c>
      <c r="G18" t="n">
        <v>0.0393</v>
      </c>
      <c r="H18" t="n">
        <v>189.18</v>
      </c>
    </row>
    <row r="19">
      <c r="A19" t="inlineStr">
        <is>
          <t>2026-09-14</t>
        </is>
      </c>
      <c r="B19" t="inlineStr">
        <is>
          <t>ING:AMS</t>
        </is>
      </c>
      <c r="C19" t="inlineStr">
        <is>
          <t>ING</t>
        </is>
      </c>
      <c r="D19" t="n">
        <v>5</v>
      </c>
      <c r="E19" t="n">
        <v>31.77</v>
      </c>
      <c r="F19" t="inlineStr">
        <is>
          <t>EUR</t>
        </is>
      </c>
      <c r="G19" t="n">
        <v>0.0412</v>
      </c>
      <c r="H19" t="n">
        <v>158.87</v>
      </c>
    </row>
    <row r="20">
      <c r="A20" t="inlineStr">
        <is>
          <t>2026-09-14</t>
        </is>
      </c>
      <c r="B20" t="inlineStr">
        <is>
          <t>SHELL:AMS</t>
        </is>
      </c>
      <c r="C20" t="inlineStr">
        <is>
          <t>Shell</t>
        </is>
      </c>
      <c r="D20" t="n">
        <v>8</v>
      </c>
      <c r="E20" t="n">
        <v>41.99</v>
      </c>
      <c r="F20" t="inlineStr">
        <is>
          <t>EUR</t>
        </is>
      </c>
      <c r="G20" t="n">
        <v>0.0312</v>
      </c>
      <c r="H20" t="n">
        <v>335.88</v>
      </c>
    </row>
    <row r="21">
      <c r="A21" t="inlineStr">
        <is>
          <t>2026-09-14</t>
        </is>
      </c>
      <c r="B21" t="inlineStr">
        <is>
          <t>HTGC:NYSE</t>
        </is>
      </c>
      <c r="C21" t="inlineStr">
        <is>
          <t>Hercules</t>
        </is>
      </c>
      <c r="D21" t="n">
        <v>3</v>
      </c>
      <c r="E21" t="n">
        <v>17.41</v>
      </c>
      <c r="F21" t="inlineStr">
        <is>
          <t>USD</t>
        </is>
      </c>
      <c r="G21" t="n">
        <v>0.108</v>
      </c>
      <c r="H21" t="n">
        <v>52.23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2026-09-14T10:26:06Z</dcterms:modified>
  <cp:lastModifiedBy xml:space="preserve">Jesse Boonstoppel </cp:lastModifiedBy>
</cp:coreProperties>
</file>